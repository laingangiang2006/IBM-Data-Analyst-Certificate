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ingangiang/Downloads/"/>
    </mc:Choice>
  </mc:AlternateContent>
  <xr:revisionPtr revIDLastSave="0" documentId="13_ncr:1_{E4BE057B-362D-7F4D-ADED-FF7A2FC590B9}" xr6:coauthVersionLast="47" xr6:coauthVersionMax="47" xr10:uidLastSave="{00000000-0000-0000-0000-000000000000}"/>
  <bookViews>
    <workbookView xWindow="8860" yWindow="600" windowWidth="19940" windowHeight="15840" activeTab="2" xr2:uid="{00000000-000D-0000-FFFF-FFFF00000000}"/>
  </bookViews>
  <sheets>
    <sheet name="Pivot Table 1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Montgomery_Fleet_Equipment_Inve!$A$1:$C$50</definedName>
    <definedName name="_xlnm._FilterDatabase" localSheetId="0" hidden="1">'Pivot Table 1'!$A$3:$B$17</definedName>
    <definedName name="_xlnm._FilterDatabase" localSheetId="1" hidden="1">'Pivot Table 2'!$A$3:$B$67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<sst xmlns="http://schemas.openxmlformats.org/spreadsheetml/2006/main" count="244" uniqueCount="37">
  <si>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</si>
  <si>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</si>
  <si>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</si>
  <si>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</si>
  <si>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</si>
  <si>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</si>
  <si>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</si>
  <si>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</si>
  <si>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</si>
  <si>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</si>
  <si>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</si>
  <si>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</si>
  <si>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</si>
  <si>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</si>
  <si>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</si>
  <si>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</si>
  <si>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</si>
  <si>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</si>
  <si>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</si>
  <si>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</si>
  <si>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</si>
  <si>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</si>
  <si>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</si>
  <si>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</si>
  <si>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</si>
  <si>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</si>
  <si>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</si>
  <si>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</si>
  <si>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</si>
  <si>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 of Equipment Count</t>
  </si>
  <si>
    <t>Average of Equipment Count</t>
  </si>
  <si>
    <t>Min of Equipment Count</t>
  </si>
  <si>
    <t>Max of Equipment Count</t>
  </si>
  <si>
    <t>Count of Equipment Count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</si>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</sst>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ại Ngân Giang" refreshedDate="46193.819696990744" createdVersion="8" refreshedVersion="8" minRefreshableVersion="3" recordCount="50" xr:uid="{2CB80591-5456-874A-9B46-88DBFC0406E3}">
  <cacheSource type="worksheet">
    <worksheetSource ref="A1:C1048576" sheet="Montgomery_Fleet_Equipment_Inve"/>
  </cacheSource>
  <cacheFields count="3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ntainsBlank="1" count="15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m/>
      </sharedItems>
    </cacheField>
    <cacheField name="Equipment Count" numFmtId="0">
      <sharedItems containsString="0" containsBlank="1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  <r>
    <x v="12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EDDEB-BD3E-4B48-B0FE-999A833F8BF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4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>
      <x v="12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7CEFE-F110-4247-B029-3187B6D4B7A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8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sd="0"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showAll="0"/>
  </pivotFields>
  <rowFields count="2">
    <field x="0"/>
    <field x="1"/>
  </rowFields>
  <rowItems count="55">
    <i>
      <x v="11"/>
    </i>
    <i>
      <x v="5"/>
    </i>
    <i r="1">
      <x/>
    </i>
    <i r="1">
      <x v="4"/>
    </i>
    <i r="1">
      <x v="10"/>
    </i>
    <i r="1">
      <x v="11"/>
    </i>
    <i r="1">
      <x v="13"/>
    </i>
    <i>
      <x v="8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"/>
    </i>
    <i r="1">
      <x v="10"/>
    </i>
    <i r="1">
      <x v="11"/>
    </i>
    <i r="1">
      <x v="13"/>
    </i>
    <i>
      <x/>
    </i>
    <i r="1">
      <x v="4"/>
    </i>
    <i r="1">
      <x v="10"/>
    </i>
    <i r="1">
      <x v="11"/>
    </i>
    <i>
      <x v="7"/>
    </i>
    <i r="1">
      <x v="3"/>
    </i>
    <i r="1">
      <x v="4"/>
    </i>
    <i r="1">
      <x v="10"/>
    </i>
    <i r="1">
      <x v="11"/>
    </i>
    <i r="1">
      <x v="13"/>
    </i>
    <i>
      <x v="10"/>
    </i>
    <i r="1">
      <x/>
    </i>
    <i r="1">
      <x v="4"/>
    </i>
    <i r="1">
      <x v="11"/>
    </i>
    <i r="1">
      <x v="13"/>
    </i>
    <i>
      <x v="2"/>
    </i>
    <i r="1">
      <x v="2"/>
    </i>
    <i r="1">
      <x v="4"/>
    </i>
    <i r="1">
      <x v="13"/>
    </i>
    <i>
      <x v="9"/>
    </i>
    <i r="1">
      <x v="7"/>
    </i>
    <i r="1">
      <x v="10"/>
    </i>
    <i r="1">
      <x v="11"/>
    </i>
    <i r="1">
      <x v="13"/>
    </i>
    <i>
      <x v="1"/>
    </i>
    <i r="1">
      <x v="10"/>
    </i>
    <i>
      <x v="4"/>
    </i>
    <i r="1">
      <x v="11"/>
    </i>
    <i>
      <x v="6"/>
    </i>
    <i r="1">
      <x v="13"/>
    </i>
    <i>
      <x v="12"/>
    </i>
    <i r="1">
      <x v="1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D3D17-AA39-6647-8209-658E024B51BE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6" firstHeaderRow="1" firstDataRow="1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6">
        <item sd="0"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showAll="0"/>
  </pivotFields>
  <rowFields count="2">
    <field x="1"/>
    <field x="0"/>
  </rowFields>
  <rowItems count="63">
    <i>
      <x/>
    </i>
    <i>
      <x v="1"/>
    </i>
    <i r="1">
      <x v="3"/>
    </i>
    <i r="1">
      <x v="11"/>
    </i>
    <i>
      <x v="2"/>
    </i>
    <i r="1">
      <x v="2"/>
    </i>
    <i r="1">
      <x v="8"/>
    </i>
    <i r="1">
      <x v="11"/>
    </i>
    <i>
      <x v="3"/>
    </i>
    <i r="1">
      <x v="7"/>
    </i>
    <i r="1">
      <x v="11"/>
    </i>
    <i>
      <x v="4"/>
    </i>
    <i r="1">
      <x/>
    </i>
    <i r="1">
      <x v="2"/>
    </i>
    <i r="1">
      <x v="5"/>
    </i>
    <i r="1">
      <x v="7"/>
    </i>
    <i r="1">
      <x v="8"/>
    </i>
    <i r="1">
      <x v="10"/>
    </i>
    <i r="1">
      <x v="11"/>
    </i>
    <i>
      <x v="5"/>
    </i>
    <i r="1">
      <x v="8"/>
    </i>
    <i>
      <x v="6"/>
    </i>
    <i r="1">
      <x v="8"/>
    </i>
    <i>
      <x v="7"/>
    </i>
    <i r="1">
      <x v="8"/>
    </i>
    <i r="1">
      <x v="9"/>
    </i>
    <i>
      <x v="8"/>
    </i>
    <i r="1">
      <x v="8"/>
    </i>
    <i>
      <x v="9"/>
    </i>
    <i r="1">
      <x v="8"/>
    </i>
    <i>
      <x v="10"/>
    </i>
    <i r="1">
      <x/>
    </i>
    <i r="1">
      <x v="1"/>
    </i>
    <i r="1">
      <x v="3"/>
    </i>
    <i r="1">
      <x v="5"/>
    </i>
    <i r="1">
      <x v="7"/>
    </i>
    <i r="1">
      <x v="8"/>
    </i>
    <i r="1">
      <x v="9"/>
    </i>
    <i r="1">
      <x v="11"/>
    </i>
    <i>
      <x v="11"/>
    </i>
    <i r="1">
      <x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12"/>
    </i>
    <i r="1">
      <x v="11"/>
    </i>
    <i>
      <x v="13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>
      <x v="14"/>
    </i>
    <i r="1">
      <x v="12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D6D68-07E3-3745-B4F4-E8F66E91FB40}" name="Table1" displayName="Table1" ref="A1:C50" totalsRowShown="0">
  <autoFilter ref="A1:C50" xr:uid="{659D6D68-07E3-3745-B4F4-E8F66E91FB40}"/>
  <tableColumns count="3">
    <tableColumn id="1" xr3:uid="{115D7B74-0401-0448-9406-D46F809FD988}" name="Department"/>
    <tableColumn id="2" xr3:uid="{1F73AC83-C230-A44D-9E3C-0B533797C1A8}" name="Equipment Class"/>
    <tableColumn id="3" xr3:uid="{2600BD98-0AF3-C345-8141-11F99251393B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B130-331C-FC4E-A10A-50C04A111D39}">
  <dimension ref="A3:B17"/>
  <sheetViews>
    <sheetView workbookViewId="0">
      <selection activeCell="E6" sqref="E6"/>
    </sheetView>
  </sheetViews>
  <sheetFormatPr baseColWidth="10" defaultRowHeight="15" x14ac:dyDescent="0.2"/>
  <cols>
    <col min="1" max="1" width="25.1640625" bestFit="1" customWidth="1"/>
    <col min="2" max="2" width="22.83203125" bestFit="1" customWidth="1"/>
  </cols>
  <sheetData>
    <row r="3" spans="1:2" x14ac:dyDescent="0.2">
      <c r="A3" s="1" t="s">
        <v>34</v>
      </c>
      <c r="B3" t="s">
        <v>29</v>
      </c>
    </row>
    <row r="4" spans="1:2" x14ac:dyDescent="0.2">
      <c r="A4" s="2" t="s">
        <v>26</v>
      </c>
      <c r="B4" s="3">
        <v>1221</v>
      </c>
    </row>
    <row r="5" spans="1:2" x14ac:dyDescent="0.2">
      <c r="A5" s="2" t="s">
        <v>15</v>
      </c>
      <c r="B5" s="3">
        <v>109</v>
      </c>
    </row>
    <row r="6" spans="1:2" x14ac:dyDescent="0.2">
      <c r="A6" s="2" t="s">
        <v>19</v>
      </c>
      <c r="B6" s="3">
        <v>85</v>
      </c>
    </row>
    <row r="7" spans="1:2" x14ac:dyDescent="0.2">
      <c r="A7" s="2" t="s">
        <v>12</v>
      </c>
      <c r="B7" s="3">
        <v>56</v>
      </c>
    </row>
    <row r="8" spans="1:2" x14ac:dyDescent="0.2">
      <c r="A8" s="2" t="s">
        <v>5</v>
      </c>
      <c r="B8" s="3">
        <v>45</v>
      </c>
    </row>
    <row r="9" spans="1:2" x14ac:dyDescent="0.2">
      <c r="A9" s="2" t="s">
        <v>18</v>
      </c>
      <c r="B9" s="3">
        <v>35</v>
      </c>
    </row>
    <row r="10" spans="1:2" x14ac:dyDescent="0.2">
      <c r="A10" s="2" t="s">
        <v>25</v>
      </c>
      <c r="B10" s="3">
        <v>16</v>
      </c>
    </row>
    <row r="11" spans="1:2" x14ac:dyDescent="0.2">
      <c r="A11" s="2" t="s">
        <v>9</v>
      </c>
      <c r="B11" s="3">
        <v>6</v>
      </c>
    </row>
    <row r="12" spans="1:2" x14ac:dyDescent="0.2">
      <c r="A12" s="2" t="s">
        <v>24</v>
      </c>
      <c r="B12" s="3">
        <v>5</v>
      </c>
    </row>
    <row r="13" spans="1:2" x14ac:dyDescent="0.2">
      <c r="A13" s="2" t="s">
        <v>8</v>
      </c>
      <c r="B13" s="3">
        <v>2</v>
      </c>
    </row>
    <row r="14" spans="1:2" x14ac:dyDescent="0.2">
      <c r="A14" s="2" t="s">
        <v>14</v>
      </c>
      <c r="B14" s="3">
        <v>1</v>
      </c>
    </row>
    <row r="15" spans="1:2" x14ac:dyDescent="0.2">
      <c r="A15" s="2" t="s">
        <v>17</v>
      </c>
      <c r="B15" s="3">
        <v>1</v>
      </c>
    </row>
    <row r="16" spans="1:2" x14ac:dyDescent="0.2">
      <c r="A16" s="2" t="s">
        <v>35</v>
      </c>
      <c r="B16" s="3"/>
    </row>
    <row r="17" spans="1:2" x14ac:dyDescent="0.2">
      <c r="A17" s="2" t="s">
        <v>36</v>
      </c>
      <c r="B17" s="3">
        <v>1582</v>
      </c>
    </row>
  </sheetData>
  <autoFilter ref="A3:B17" xr:uid="{A8C9B130-331C-FC4E-A10A-50C04A111D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D892-FD4B-7646-95D0-5953367CD12F}">
  <dimension ref="A3:B58"/>
  <sheetViews>
    <sheetView workbookViewId="0">
      <selection activeCell="A4" sqref="A4"/>
    </sheetView>
  </sheetViews>
  <sheetFormatPr baseColWidth="10" defaultRowHeight="15" x14ac:dyDescent="0.2"/>
  <cols>
    <col min="1" max="1" width="27.33203125" bestFit="1" customWidth="1"/>
    <col min="2" max="2" width="22.83203125" bestFit="1" customWidth="1"/>
  </cols>
  <sheetData>
    <row r="3" spans="1:2" x14ac:dyDescent="0.2">
      <c r="A3" s="1" t="s">
        <v>34</v>
      </c>
      <c r="B3" t="s">
        <v>29</v>
      </c>
    </row>
    <row r="4" spans="1:2" x14ac:dyDescent="0.2">
      <c r="A4" s="2" t="s">
        <v>26</v>
      </c>
      <c r="B4" s="3">
        <v>1221</v>
      </c>
    </row>
    <row r="5" spans="1:2" x14ac:dyDescent="0.2">
      <c r="A5" s="2" t="s">
        <v>15</v>
      </c>
      <c r="B5" s="3">
        <v>109</v>
      </c>
    </row>
    <row r="6" spans="1:2" x14ac:dyDescent="0.2">
      <c r="A6" s="4" t="s">
        <v>16</v>
      </c>
      <c r="B6" s="3">
        <v>9</v>
      </c>
    </row>
    <row r="7" spans="1:2" x14ac:dyDescent="0.2">
      <c r="A7" s="4" t="s">
        <v>6</v>
      </c>
      <c r="B7" s="3">
        <v>24</v>
      </c>
    </row>
    <row r="8" spans="1:2" x14ac:dyDescent="0.2">
      <c r="A8" s="4" t="s">
        <v>4</v>
      </c>
      <c r="B8" s="3">
        <v>48</v>
      </c>
    </row>
    <row r="9" spans="1:2" x14ac:dyDescent="0.2">
      <c r="A9" s="4" t="s">
        <v>7</v>
      </c>
      <c r="B9" s="3">
        <v>27</v>
      </c>
    </row>
    <row r="10" spans="1:2" x14ac:dyDescent="0.2">
      <c r="A10" s="4" t="s">
        <v>10</v>
      </c>
      <c r="B10" s="3">
        <v>1</v>
      </c>
    </row>
    <row r="11" spans="1:2" x14ac:dyDescent="0.2">
      <c r="A11" s="2" t="s">
        <v>19</v>
      </c>
      <c r="B11" s="3">
        <v>85</v>
      </c>
    </row>
    <row r="12" spans="1:2" x14ac:dyDescent="0.2">
      <c r="A12" s="4" t="s">
        <v>11</v>
      </c>
      <c r="B12" s="3">
        <v>1</v>
      </c>
    </row>
    <row r="13" spans="1:2" x14ac:dyDescent="0.2">
      <c r="A13" s="4" t="s">
        <v>6</v>
      </c>
      <c r="B13" s="3">
        <v>3</v>
      </c>
    </row>
    <row r="14" spans="1:2" x14ac:dyDescent="0.2">
      <c r="A14" s="4" t="s">
        <v>21</v>
      </c>
      <c r="B14" s="3">
        <v>4</v>
      </c>
    </row>
    <row r="15" spans="1:2" x14ac:dyDescent="0.2">
      <c r="A15" s="4" t="s">
        <v>23</v>
      </c>
      <c r="B15" s="3">
        <v>1</v>
      </c>
    </row>
    <row r="16" spans="1:2" x14ac:dyDescent="0.2">
      <c r="A16" s="4" t="s">
        <v>22</v>
      </c>
      <c r="B16" s="3">
        <v>46</v>
      </c>
    </row>
    <row r="17" spans="1:2" x14ac:dyDescent="0.2">
      <c r="A17" s="4" t="s">
        <v>3</v>
      </c>
      <c r="B17" s="3">
        <v>20</v>
      </c>
    </row>
    <row r="18" spans="1:2" x14ac:dyDescent="0.2">
      <c r="A18" s="4" t="s">
        <v>20</v>
      </c>
      <c r="B18" s="3">
        <v>8</v>
      </c>
    </row>
    <row r="19" spans="1:2" x14ac:dyDescent="0.2">
      <c r="A19" s="4" t="s">
        <v>4</v>
      </c>
      <c r="B19" s="3">
        <v>1</v>
      </c>
    </row>
    <row r="20" spans="1:2" x14ac:dyDescent="0.2">
      <c r="A20" s="4" t="s">
        <v>7</v>
      </c>
      <c r="B20" s="3">
        <v>1</v>
      </c>
    </row>
    <row r="21" spans="1:2" x14ac:dyDescent="0.2">
      <c r="A21" s="2" t="s">
        <v>12</v>
      </c>
      <c r="B21" s="3">
        <v>56</v>
      </c>
    </row>
    <row r="22" spans="1:2" x14ac:dyDescent="0.2">
      <c r="A22" s="4" t="s">
        <v>13</v>
      </c>
      <c r="B22" s="3">
        <v>42</v>
      </c>
    </row>
    <row r="23" spans="1:2" x14ac:dyDescent="0.2">
      <c r="A23" s="4" t="s">
        <v>4</v>
      </c>
      <c r="B23" s="3">
        <v>11</v>
      </c>
    </row>
    <row r="24" spans="1:2" x14ac:dyDescent="0.2">
      <c r="A24" s="4" t="s">
        <v>7</v>
      </c>
      <c r="B24" s="3">
        <v>1</v>
      </c>
    </row>
    <row r="25" spans="1:2" x14ac:dyDescent="0.2">
      <c r="A25" s="4" t="s">
        <v>10</v>
      </c>
      <c r="B25" s="3">
        <v>2</v>
      </c>
    </row>
    <row r="26" spans="1:2" x14ac:dyDescent="0.2">
      <c r="A26" s="2" t="s">
        <v>5</v>
      </c>
      <c r="B26" s="3">
        <v>45</v>
      </c>
    </row>
    <row r="27" spans="1:2" x14ac:dyDescent="0.2">
      <c r="A27" s="4" t="s">
        <v>6</v>
      </c>
      <c r="B27" s="3">
        <v>21</v>
      </c>
    </row>
    <row r="28" spans="1:2" x14ac:dyDescent="0.2">
      <c r="A28" s="4" t="s">
        <v>4</v>
      </c>
      <c r="B28" s="3">
        <v>23</v>
      </c>
    </row>
    <row r="29" spans="1:2" x14ac:dyDescent="0.2">
      <c r="A29" s="4" t="s">
        <v>7</v>
      </c>
      <c r="B29" s="3">
        <v>1</v>
      </c>
    </row>
    <row r="30" spans="1:2" x14ac:dyDescent="0.2">
      <c r="A30" s="2" t="s">
        <v>18</v>
      </c>
      <c r="B30" s="3">
        <v>35</v>
      </c>
    </row>
    <row r="31" spans="1:2" x14ac:dyDescent="0.2">
      <c r="A31" s="4" t="s">
        <v>28</v>
      </c>
      <c r="B31" s="3">
        <v>7</v>
      </c>
    </row>
    <row r="32" spans="1:2" x14ac:dyDescent="0.2">
      <c r="A32" s="4" t="s">
        <v>6</v>
      </c>
      <c r="B32" s="3">
        <v>5</v>
      </c>
    </row>
    <row r="33" spans="1:2" x14ac:dyDescent="0.2">
      <c r="A33" s="4" t="s">
        <v>4</v>
      </c>
      <c r="B33" s="3">
        <v>6</v>
      </c>
    </row>
    <row r="34" spans="1:2" x14ac:dyDescent="0.2">
      <c r="A34" s="4" t="s">
        <v>7</v>
      </c>
      <c r="B34" s="3">
        <v>2</v>
      </c>
    </row>
    <row r="35" spans="1:2" x14ac:dyDescent="0.2">
      <c r="A35" s="4" t="s">
        <v>10</v>
      </c>
      <c r="B35" s="3">
        <v>15</v>
      </c>
    </row>
    <row r="36" spans="1:2" x14ac:dyDescent="0.2">
      <c r="A36" s="2" t="s">
        <v>25</v>
      </c>
      <c r="B36" s="3">
        <v>16</v>
      </c>
    </row>
    <row r="37" spans="1:2" x14ac:dyDescent="0.2">
      <c r="A37" s="4" t="s">
        <v>16</v>
      </c>
      <c r="B37" s="3">
        <v>1</v>
      </c>
    </row>
    <row r="38" spans="1:2" x14ac:dyDescent="0.2">
      <c r="A38" s="4" t="s">
        <v>6</v>
      </c>
      <c r="B38" s="3">
        <v>1</v>
      </c>
    </row>
    <row r="39" spans="1:2" x14ac:dyDescent="0.2">
      <c r="A39" s="4" t="s">
        <v>7</v>
      </c>
      <c r="B39" s="3">
        <v>3</v>
      </c>
    </row>
    <row r="40" spans="1:2" x14ac:dyDescent="0.2">
      <c r="A40" s="4" t="s">
        <v>10</v>
      </c>
      <c r="B40" s="3">
        <v>11</v>
      </c>
    </row>
    <row r="41" spans="1:2" x14ac:dyDescent="0.2">
      <c r="A41" s="2" t="s">
        <v>9</v>
      </c>
      <c r="B41" s="3">
        <v>6</v>
      </c>
    </row>
    <row r="42" spans="1:2" x14ac:dyDescent="0.2">
      <c r="A42" s="4" t="s">
        <v>11</v>
      </c>
      <c r="B42" s="3">
        <v>1</v>
      </c>
    </row>
    <row r="43" spans="1:2" x14ac:dyDescent="0.2">
      <c r="A43" s="4" t="s">
        <v>6</v>
      </c>
      <c r="B43" s="3">
        <v>3</v>
      </c>
    </row>
    <row r="44" spans="1:2" x14ac:dyDescent="0.2">
      <c r="A44" s="4" t="s">
        <v>10</v>
      </c>
      <c r="B44" s="3">
        <v>2</v>
      </c>
    </row>
    <row r="45" spans="1:2" x14ac:dyDescent="0.2">
      <c r="A45" s="2" t="s">
        <v>24</v>
      </c>
      <c r="B45" s="3">
        <v>5</v>
      </c>
    </row>
    <row r="46" spans="1:2" x14ac:dyDescent="0.2">
      <c r="A46" s="4" t="s">
        <v>22</v>
      </c>
      <c r="B46" s="3">
        <v>1</v>
      </c>
    </row>
    <row r="47" spans="1:2" x14ac:dyDescent="0.2">
      <c r="A47" s="4" t="s">
        <v>4</v>
      </c>
      <c r="B47" s="3">
        <v>2</v>
      </c>
    </row>
    <row r="48" spans="1:2" x14ac:dyDescent="0.2">
      <c r="A48" s="4" t="s">
        <v>7</v>
      </c>
      <c r="B48" s="3">
        <v>1</v>
      </c>
    </row>
    <row r="49" spans="1:2" x14ac:dyDescent="0.2">
      <c r="A49" s="4" t="s">
        <v>10</v>
      </c>
      <c r="B49" s="3">
        <v>1</v>
      </c>
    </row>
    <row r="50" spans="1:2" x14ac:dyDescent="0.2">
      <c r="A50" s="2" t="s">
        <v>8</v>
      </c>
      <c r="B50" s="3">
        <v>2</v>
      </c>
    </row>
    <row r="51" spans="1:2" x14ac:dyDescent="0.2">
      <c r="A51" s="4" t="s">
        <v>4</v>
      </c>
      <c r="B51" s="3">
        <v>2</v>
      </c>
    </row>
    <row r="52" spans="1:2" x14ac:dyDescent="0.2">
      <c r="A52" s="2" t="s">
        <v>14</v>
      </c>
      <c r="B52" s="3">
        <v>1</v>
      </c>
    </row>
    <row r="53" spans="1:2" x14ac:dyDescent="0.2">
      <c r="A53" s="4" t="s">
        <v>7</v>
      </c>
      <c r="B53" s="3">
        <v>1</v>
      </c>
    </row>
    <row r="54" spans="1:2" x14ac:dyDescent="0.2">
      <c r="A54" s="2" t="s">
        <v>17</v>
      </c>
      <c r="B54" s="3">
        <v>1</v>
      </c>
    </row>
    <row r="55" spans="1:2" x14ac:dyDescent="0.2">
      <c r="A55" s="4" t="s">
        <v>10</v>
      </c>
      <c r="B55" s="3">
        <v>1</v>
      </c>
    </row>
    <row r="56" spans="1:2" x14ac:dyDescent="0.2">
      <c r="A56" s="2" t="s">
        <v>35</v>
      </c>
      <c r="B56" s="3"/>
    </row>
    <row r="57" spans="1:2" x14ac:dyDescent="0.2">
      <c r="A57" s="4" t="s">
        <v>35</v>
      </c>
      <c r="B57" s="3"/>
    </row>
    <row r="58" spans="1:2" x14ac:dyDescent="0.2">
      <c r="A58" s="2" t="s">
        <v>36</v>
      </c>
      <c r="B58" s="3">
        <v>1582</v>
      </c>
    </row>
  </sheetData>
  <autoFilter ref="A3:B67" xr:uid="{1EBFD892-FD4B-7646-95D0-5953367CD12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6469-88D5-DD4E-95E4-5FEC716E4955}">
  <dimension ref="A3:B66"/>
  <sheetViews>
    <sheetView tabSelected="1" topLeftCell="A60" workbookViewId="0">
      <selection activeCell="A4" sqref="A4"/>
    </sheetView>
  </sheetViews>
  <sheetFormatPr baseColWidth="10" defaultRowHeight="15" x14ac:dyDescent="0.2"/>
  <cols>
    <col min="1" max="1" width="28.83203125" bestFit="1" customWidth="1"/>
    <col min="2" max="2" width="20.33203125" bestFit="1" customWidth="1"/>
  </cols>
  <sheetData>
    <row r="3" spans="1:2" x14ac:dyDescent="0.2">
      <c r="A3" s="1" t="s">
        <v>34</v>
      </c>
      <c r="B3" t="s">
        <v>29</v>
      </c>
    </row>
    <row r="4" spans="1:2" x14ac:dyDescent="0.2">
      <c r="A4" s="2" t="s">
        <v>16</v>
      </c>
      <c r="B4" s="3">
        <v>15</v>
      </c>
    </row>
    <row r="5" spans="1:2" x14ac:dyDescent="0.2">
      <c r="A5" s="2" t="s">
        <v>13</v>
      </c>
      <c r="B5" s="3">
        <v>290</v>
      </c>
    </row>
    <row r="6" spans="1:2" x14ac:dyDescent="0.2">
      <c r="A6" s="4" t="s">
        <v>12</v>
      </c>
      <c r="B6" s="3">
        <v>42</v>
      </c>
    </row>
    <row r="7" spans="1:2" x14ac:dyDescent="0.2">
      <c r="A7" s="4" t="s">
        <v>26</v>
      </c>
      <c r="B7" s="3">
        <v>248</v>
      </c>
    </row>
    <row r="8" spans="1:2" x14ac:dyDescent="0.2">
      <c r="A8" s="2" t="s">
        <v>11</v>
      </c>
      <c r="B8" s="3">
        <v>100</v>
      </c>
    </row>
    <row r="9" spans="1:2" x14ac:dyDescent="0.2">
      <c r="A9" s="4" t="s">
        <v>9</v>
      </c>
      <c r="B9" s="3">
        <v>1</v>
      </c>
    </row>
    <row r="10" spans="1:2" x14ac:dyDescent="0.2">
      <c r="A10" s="4" t="s">
        <v>19</v>
      </c>
      <c r="B10" s="3">
        <v>1</v>
      </c>
    </row>
    <row r="11" spans="1:2" x14ac:dyDescent="0.2">
      <c r="A11" s="4" t="s">
        <v>26</v>
      </c>
      <c r="B11" s="3">
        <v>98</v>
      </c>
    </row>
    <row r="12" spans="1:2" x14ac:dyDescent="0.2">
      <c r="A12" s="2" t="s">
        <v>28</v>
      </c>
      <c r="B12" s="3">
        <v>283</v>
      </c>
    </row>
    <row r="13" spans="1:2" x14ac:dyDescent="0.2">
      <c r="A13" s="4" t="s">
        <v>18</v>
      </c>
      <c r="B13" s="3">
        <v>7</v>
      </c>
    </row>
    <row r="14" spans="1:2" x14ac:dyDescent="0.2">
      <c r="A14" s="4" t="s">
        <v>26</v>
      </c>
      <c r="B14" s="3">
        <v>276</v>
      </c>
    </row>
    <row r="15" spans="1:2" x14ac:dyDescent="0.2">
      <c r="A15" s="2" t="s">
        <v>6</v>
      </c>
      <c r="B15" s="3">
        <v>150</v>
      </c>
    </row>
    <row r="16" spans="1:2" x14ac:dyDescent="0.2">
      <c r="A16" s="4" t="s">
        <v>5</v>
      </c>
      <c r="B16" s="3">
        <v>21</v>
      </c>
    </row>
    <row r="17" spans="1:2" x14ac:dyDescent="0.2">
      <c r="A17" s="4" t="s">
        <v>9</v>
      </c>
      <c r="B17" s="3">
        <v>3</v>
      </c>
    </row>
    <row r="18" spans="1:2" x14ac:dyDescent="0.2">
      <c r="A18" s="4" t="s">
        <v>15</v>
      </c>
      <c r="B18" s="3">
        <v>24</v>
      </c>
    </row>
    <row r="19" spans="1:2" x14ac:dyDescent="0.2">
      <c r="A19" s="4" t="s">
        <v>18</v>
      </c>
      <c r="B19" s="3">
        <v>5</v>
      </c>
    </row>
    <row r="20" spans="1:2" x14ac:dyDescent="0.2">
      <c r="A20" s="4" t="s">
        <v>19</v>
      </c>
      <c r="B20" s="3">
        <v>3</v>
      </c>
    </row>
    <row r="21" spans="1:2" x14ac:dyDescent="0.2">
      <c r="A21" s="4" t="s">
        <v>25</v>
      </c>
      <c r="B21" s="3">
        <v>1</v>
      </c>
    </row>
    <row r="22" spans="1:2" x14ac:dyDescent="0.2">
      <c r="A22" s="4" t="s">
        <v>26</v>
      </c>
      <c r="B22" s="3">
        <v>93</v>
      </c>
    </row>
    <row r="23" spans="1:2" x14ac:dyDescent="0.2">
      <c r="A23" s="2" t="s">
        <v>21</v>
      </c>
      <c r="B23" s="3">
        <v>4</v>
      </c>
    </row>
    <row r="24" spans="1:2" x14ac:dyDescent="0.2">
      <c r="A24" s="4" t="s">
        <v>19</v>
      </c>
      <c r="B24" s="3">
        <v>4</v>
      </c>
    </row>
    <row r="25" spans="1:2" x14ac:dyDescent="0.2">
      <c r="A25" s="2" t="s">
        <v>23</v>
      </c>
      <c r="B25" s="3">
        <v>1</v>
      </c>
    </row>
    <row r="26" spans="1:2" x14ac:dyDescent="0.2">
      <c r="A26" s="4" t="s">
        <v>19</v>
      </c>
      <c r="B26" s="3">
        <v>1</v>
      </c>
    </row>
    <row r="27" spans="1:2" x14ac:dyDescent="0.2">
      <c r="A27" s="2" t="s">
        <v>22</v>
      </c>
      <c r="B27" s="3">
        <v>47</v>
      </c>
    </row>
    <row r="28" spans="1:2" x14ac:dyDescent="0.2">
      <c r="A28" s="4" t="s">
        <v>19</v>
      </c>
      <c r="B28" s="3">
        <v>46</v>
      </c>
    </row>
    <row r="29" spans="1:2" x14ac:dyDescent="0.2">
      <c r="A29" s="4" t="s">
        <v>24</v>
      </c>
      <c r="B29" s="3">
        <v>1</v>
      </c>
    </row>
    <row r="30" spans="1:2" x14ac:dyDescent="0.2">
      <c r="A30" s="2" t="s">
        <v>3</v>
      </c>
      <c r="B30" s="3">
        <v>20</v>
      </c>
    </row>
    <row r="31" spans="1:2" x14ac:dyDescent="0.2">
      <c r="A31" s="4" t="s">
        <v>19</v>
      </c>
      <c r="B31" s="3">
        <v>20</v>
      </c>
    </row>
    <row r="32" spans="1:2" x14ac:dyDescent="0.2">
      <c r="A32" s="2" t="s">
        <v>20</v>
      </c>
      <c r="B32" s="3">
        <v>8</v>
      </c>
    </row>
    <row r="33" spans="1:2" x14ac:dyDescent="0.2">
      <c r="A33" s="4" t="s">
        <v>19</v>
      </c>
      <c r="B33" s="3">
        <v>8</v>
      </c>
    </row>
    <row r="34" spans="1:2" x14ac:dyDescent="0.2">
      <c r="A34" s="2" t="s">
        <v>4</v>
      </c>
      <c r="B34" s="3">
        <v>130</v>
      </c>
    </row>
    <row r="35" spans="1:2" x14ac:dyDescent="0.2">
      <c r="A35" s="4" t="s">
        <v>5</v>
      </c>
      <c r="B35" s="3">
        <v>23</v>
      </c>
    </row>
    <row r="36" spans="1:2" x14ac:dyDescent="0.2">
      <c r="A36" s="4" t="s">
        <v>8</v>
      </c>
      <c r="B36" s="3">
        <v>2</v>
      </c>
    </row>
    <row r="37" spans="1:2" x14ac:dyDescent="0.2">
      <c r="A37" s="4" t="s">
        <v>12</v>
      </c>
      <c r="B37" s="3">
        <v>11</v>
      </c>
    </row>
    <row r="38" spans="1:2" x14ac:dyDescent="0.2">
      <c r="A38" s="4" t="s">
        <v>15</v>
      </c>
      <c r="B38" s="3">
        <v>48</v>
      </c>
    </row>
    <row r="39" spans="1:2" x14ac:dyDescent="0.2">
      <c r="A39" s="4" t="s">
        <v>18</v>
      </c>
      <c r="B39" s="3">
        <v>6</v>
      </c>
    </row>
    <row r="40" spans="1:2" x14ac:dyDescent="0.2">
      <c r="A40" s="4" t="s">
        <v>19</v>
      </c>
      <c r="B40" s="3">
        <v>1</v>
      </c>
    </row>
    <row r="41" spans="1:2" x14ac:dyDescent="0.2">
      <c r="A41" s="4" t="s">
        <v>24</v>
      </c>
      <c r="B41" s="3">
        <v>2</v>
      </c>
    </row>
    <row r="42" spans="1:2" x14ac:dyDescent="0.2">
      <c r="A42" s="4" t="s">
        <v>26</v>
      </c>
      <c r="B42" s="3">
        <v>37</v>
      </c>
    </row>
    <row r="43" spans="1:2" x14ac:dyDescent="0.2">
      <c r="A43" s="2" t="s">
        <v>7</v>
      </c>
      <c r="B43" s="3">
        <v>90</v>
      </c>
    </row>
    <row r="44" spans="1:2" x14ac:dyDescent="0.2">
      <c r="A44" s="4" t="s">
        <v>5</v>
      </c>
      <c r="B44" s="3">
        <v>1</v>
      </c>
    </row>
    <row r="45" spans="1:2" x14ac:dyDescent="0.2">
      <c r="A45" s="4" t="s">
        <v>12</v>
      </c>
      <c r="B45" s="3">
        <v>1</v>
      </c>
    </row>
    <row r="46" spans="1:2" x14ac:dyDescent="0.2">
      <c r="A46" s="4" t="s">
        <v>14</v>
      </c>
      <c r="B46" s="3">
        <v>1</v>
      </c>
    </row>
    <row r="47" spans="1:2" x14ac:dyDescent="0.2">
      <c r="A47" s="4" t="s">
        <v>15</v>
      </c>
      <c r="B47" s="3">
        <v>27</v>
      </c>
    </row>
    <row r="48" spans="1:2" x14ac:dyDescent="0.2">
      <c r="A48" s="4" t="s">
        <v>18</v>
      </c>
      <c r="B48" s="3">
        <v>2</v>
      </c>
    </row>
    <row r="49" spans="1:2" x14ac:dyDescent="0.2">
      <c r="A49" s="4" t="s">
        <v>19</v>
      </c>
      <c r="B49" s="3">
        <v>1</v>
      </c>
    </row>
    <row r="50" spans="1:2" x14ac:dyDescent="0.2">
      <c r="A50" s="4" t="s">
        <v>24</v>
      </c>
      <c r="B50" s="3">
        <v>1</v>
      </c>
    </row>
    <row r="51" spans="1:2" x14ac:dyDescent="0.2">
      <c r="A51" s="4" t="s">
        <v>25</v>
      </c>
      <c r="B51" s="3">
        <v>3</v>
      </c>
    </row>
    <row r="52" spans="1:2" x14ac:dyDescent="0.2">
      <c r="A52" s="4" t="s">
        <v>26</v>
      </c>
      <c r="B52" s="3">
        <v>53</v>
      </c>
    </row>
    <row r="53" spans="1:2" x14ac:dyDescent="0.2">
      <c r="A53" s="2" t="s">
        <v>27</v>
      </c>
      <c r="B53" s="3">
        <v>379</v>
      </c>
    </row>
    <row r="54" spans="1:2" x14ac:dyDescent="0.2">
      <c r="A54" s="4" t="s">
        <v>26</v>
      </c>
      <c r="B54" s="3">
        <v>379</v>
      </c>
    </row>
    <row r="55" spans="1:2" x14ac:dyDescent="0.2">
      <c r="A55" s="2" t="s">
        <v>10</v>
      </c>
      <c r="B55" s="3">
        <v>65</v>
      </c>
    </row>
    <row r="56" spans="1:2" x14ac:dyDescent="0.2">
      <c r="A56" s="4" t="s">
        <v>9</v>
      </c>
      <c r="B56" s="3">
        <v>2</v>
      </c>
    </row>
    <row r="57" spans="1:2" x14ac:dyDescent="0.2">
      <c r="A57" s="4" t="s">
        <v>12</v>
      </c>
      <c r="B57" s="3">
        <v>2</v>
      </c>
    </row>
    <row r="58" spans="1:2" x14ac:dyDescent="0.2">
      <c r="A58" s="4" t="s">
        <v>15</v>
      </c>
      <c r="B58" s="3">
        <v>1</v>
      </c>
    </row>
    <row r="59" spans="1:2" x14ac:dyDescent="0.2">
      <c r="A59" s="4" t="s">
        <v>17</v>
      </c>
      <c r="B59" s="3">
        <v>1</v>
      </c>
    </row>
    <row r="60" spans="1:2" x14ac:dyDescent="0.2">
      <c r="A60" s="4" t="s">
        <v>18</v>
      </c>
      <c r="B60" s="3">
        <v>15</v>
      </c>
    </row>
    <row r="61" spans="1:2" x14ac:dyDescent="0.2">
      <c r="A61" s="4" t="s">
        <v>24</v>
      </c>
      <c r="B61" s="3">
        <v>1</v>
      </c>
    </row>
    <row r="62" spans="1:2" x14ac:dyDescent="0.2">
      <c r="A62" s="4" t="s">
        <v>25</v>
      </c>
      <c r="B62" s="3">
        <v>11</v>
      </c>
    </row>
    <row r="63" spans="1:2" x14ac:dyDescent="0.2">
      <c r="A63" s="4" t="s">
        <v>26</v>
      </c>
      <c r="B63" s="3">
        <v>32</v>
      </c>
    </row>
    <row r="64" spans="1:2" x14ac:dyDescent="0.2">
      <c r="A64" s="2" t="s">
        <v>35</v>
      </c>
      <c r="B64" s="3"/>
    </row>
    <row r="65" spans="1:2" x14ac:dyDescent="0.2">
      <c r="A65" s="4" t="s">
        <v>35</v>
      </c>
      <c r="B65" s="3"/>
    </row>
    <row r="66" spans="1:2" x14ac:dyDescent="0.2">
      <c r="A66" s="2" t="s">
        <v>36</v>
      </c>
      <c r="B66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sqref="A1:C1048576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4" width="17" customWidth="1"/>
    <col min="5" max="5" width="22.83203125" bestFit="1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 t="s">
        <v>5</v>
      </c>
      <c r="B2" t="s">
        <v>6</v>
      </c>
      <c r="C2">
        <v>21</v>
      </c>
      <c r="E2" t="s">
        <v>29</v>
      </c>
      <c r="F2">
        <f>SUM(C:C)</f>
        <v>1582</v>
      </c>
    </row>
    <row r="3" spans="1:6" x14ac:dyDescent="0.2">
      <c r="A3" t="s">
        <v>5</v>
      </c>
      <c r="B3" t="s">
        <v>7</v>
      </c>
      <c r="C3">
        <v>1</v>
      </c>
      <c r="E3" t="s">
        <v>30</v>
      </c>
      <c r="F3">
        <f>AVERAGE(Table1[Equipment Count])</f>
        <v>32.285714285714285</v>
      </c>
    </row>
    <row r="4" spans="1:6" x14ac:dyDescent="0.2">
      <c r="A4" t="s">
        <v>5</v>
      </c>
      <c r="B4" t="s">
        <v>4</v>
      </c>
      <c r="C4">
        <v>23</v>
      </c>
      <c r="E4" t="s">
        <v>31</v>
      </c>
      <c r="F4">
        <f>MIN(Table1[Equipment Count])</f>
        <v>1</v>
      </c>
    </row>
    <row r="5" spans="1:6" x14ac:dyDescent="0.2">
      <c r="A5" t="s">
        <v>8</v>
      </c>
      <c r="B5" t="s">
        <v>4</v>
      </c>
      <c r="C5">
        <v>2</v>
      </c>
      <c r="E5" t="s">
        <v>32</v>
      </c>
      <c r="F5">
        <f>MAX(Table1[Equipment Count])</f>
        <v>379</v>
      </c>
    </row>
    <row r="6" spans="1:6" x14ac:dyDescent="0.2">
      <c r="A6" t="s">
        <v>9</v>
      </c>
      <c r="B6" t="s">
        <v>6</v>
      </c>
      <c r="C6">
        <v>3</v>
      </c>
      <c r="E6" t="s">
        <v>33</v>
      </c>
      <c r="F6">
        <f>COUNT(Table1[Equipment Count])</f>
        <v>49</v>
      </c>
    </row>
    <row r="7" spans="1:6" x14ac:dyDescent="0.2">
      <c r="A7" t="s">
        <v>9</v>
      </c>
      <c r="B7" t="s">
        <v>10</v>
      </c>
      <c r="C7">
        <v>2</v>
      </c>
    </row>
    <row r="8" spans="1:6" x14ac:dyDescent="0.2">
      <c r="A8" t="s">
        <v>9</v>
      </c>
      <c r="B8" t="s">
        <v>11</v>
      </c>
      <c r="C8">
        <v>1</v>
      </c>
    </row>
    <row r="9" spans="1:6" x14ac:dyDescent="0.2">
      <c r="A9" t="s">
        <v>12</v>
      </c>
      <c r="B9" t="s">
        <v>10</v>
      </c>
      <c r="C9">
        <v>2</v>
      </c>
    </row>
    <row r="10" spans="1:6" x14ac:dyDescent="0.2">
      <c r="A10" t="s">
        <v>12</v>
      </c>
      <c r="B10" t="s">
        <v>13</v>
      </c>
      <c r="C10">
        <v>42</v>
      </c>
    </row>
    <row r="11" spans="1:6" x14ac:dyDescent="0.2">
      <c r="A11" t="s">
        <v>12</v>
      </c>
      <c r="B11" t="s">
        <v>7</v>
      </c>
      <c r="C11">
        <v>1</v>
      </c>
    </row>
    <row r="12" spans="1:6" x14ac:dyDescent="0.2">
      <c r="A12" t="s">
        <v>12</v>
      </c>
      <c r="B12" t="s">
        <v>4</v>
      </c>
      <c r="C12">
        <v>11</v>
      </c>
    </row>
    <row r="13" spans="1:6" x14ac:dyDescent="0.2">
      <c r="A13" t="s">
        <v>14</v>
      </c>
      <c r="B13" t="s">
        <v>7</v>
      </c>
      <c r="C13">
        <v>1</v>
      </c>
    </row>
    <row r="14" spans="1:6" x14ac:dyDescent="0.2">
      <c r="A14" t="s">
        <v>15</v>
      </c>
      <c r="B14" t="s">
        <v>16</v>
      </c>
      <c r="C14">
        <v>9</v>
      </c>
    </row>
    <row r="15" spans="1:6" x14ac:dyDescent="0.2">
      <c r="A15" t="s">
        <v>15</v>
      </c>
      <c r="B15" t="s">
        <v>7</v>
      </c>
      <c r="C15">
        <v>27</v>
      </c>
    </row>
    <row r="16" spans="1:6" x14ac:dyDescent="0.2">
      <c r="A16" t="s">
        <v>15</v>
      </c>
      <c r="B16" t="s">
        <v>6</v>
      </c>
      <c r="C16">
        <v>24</v>
      </c>
    </row>
    <row r="17" spans="1:3" x14ac:dyDescent="0.2">
      <c r="A17" t="s">
        <v>15</v>
      </c>
      <c r="B17" t="s">
        <v>10</v>
      </c>
      <c r="C17">
        <v>1</v>
      </c>
    </row>
    <row r="18" spans="1:3" x14ac:dyDescent="0.2">
      <c r="A18" t="s">
        <v>15</v>
      </c>
      <c r="B18" t="s">
        <v>4</v>
      </c>
      <c r="C18">
        <v>48</v>
      </c>
    </row>
    <row r="19" spans="1:3" x14ac:dyDescent="0.2">
      <c r="A19" t="s">
        <v>17</v>
      </c>
      <c r="B19" t="s">
        <v>10</v>
      </c>
      <c r="C19">
        <v>1</v>
      </c>
    </row>
    <row r="20" spans="1:3" x14ac:dyDescent="0.2">
      <c r="A20" t="s">
        <v>18</v>
      </c>
      <c r="B20" t="s">
        <v>4</v>
      </c>
      <c r="C20">
        <v>6</v>
      </c>
    </row>
    <row r="21" spans="1:3" x14ac:dyDescent="0.2">
      <c r="A21" t="s">
        <v>18</v>
      </c>
      <c r="B21" t="s">
        <v>6</v>
      </c>
      <c r="C21">
        <v>5</v>
      </c>
    </row>
    <row r="22" spans="1:3" x14ac:dyDescent="0.2">
      <c r="A22" t="s">
        <v>18</v>
      </c>
      <c r="B22" t="s">
        <v>7</v>
      </c>
      <c r="C22">
        <v>2</v>
      </c>
    </row>
    <row r="23" spans="1:3" x14ac:dyDescent="0.2">
      <c r="A23" t="s">
        <v>18</v>
      </c>
      <c r="B23" t="s">
        <v>10</v>
      </c>
      <c r="C23">
        <v>15</v>
      </c>
    </row>
    <row r="24" spans="1:3" x14ac:dyDescent="0.2">
      <c r="A24" t="s">
        <v>18</v>
      </c>
      <c r="B24" t="s">
        <v>28</v>
      </c>
      <c r="C24">
        <v>7</v>
      </c>
    </row>
    <row r="25" spans="1:3" x14ac:dyDescent="0.2">
      <c r="A25" t="s">
        <v>19</v>
      </c>
      <c r="B25" t="s">
        <v>3</v>
      </c>
      <c r="C25">
        <v>20</v>
      </c>
    </row>
    <row r="26" spans="1:3" x14ac:dyDescent="0.2">
      <c r="A26" t="s">
        <v>19</v>
      </c>
      <c r="B26" t="s">
        <v>4</v>
      </c>
      <c r="C26">
        <v>1</v>
      </c>
    </row>
    <row r="27" spans="1:3" x14ac:dyDescent="0.2">
      <c r="A27" t="s">
        <v>19</v>
      </c>
      <c r="B27" t="s">
        <v>11</v>
      </c>
      <c r="C27">
        <v>1</v>
      </c>
    </row>
    <row r="28" spans="1:3" x14ac:dyDescent="0.2">
      <c r="A28" t="s">
        <v>19</v>
      </c>
      <c r="B28" t="s">
        <v>6</v>
      </c>
      <c r="C28">
        <v>3</v>
      </c>
    </row>
    <row r="29" spans="1:3" x14ac:dyDescent="0.2">
      <c r="A29" t="s">
        <v>19</v>
      </c>
      <c r="B29" t="s">
        <v>7</v>
      </c>
      <c r="C29">
        <v>1</v>
      </c>
    </row>
    <row r="30" spans="1:3" x14ac:dyDescent="0.2">
      <c r="A30" t="s">
        <v>19</v>
      </c>
      <c r="B30" t="s">
        <v>20</v>
      </c>
      <c r="C30">
        <v>8</v>
      </c>
    </row>
    <row r="31" spans="1:3" x14ac:dyDescent="0.2">
      <c r="A31" t="s">
        <v>19</v>
      </c>
      <c r="B31" t="s">
        <v>21</v>
      </c>
      <c r="C31">
        <v>4</v>
      </c>
    </row>
    <row r="32" spans="1:3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Giang Lại Ngân</cp:lastModifiedBy>
  <dcterms:created xsi:type="dcterms:W3CDTF">2020-09-01T17:18:12Z</dcterms:created>
  <dcterms:modified xsi:type="dcterms:W3CDTF">2026-06-20T12:46:54Z</dcterms:modified>
</cp:coreProperties>
</file>